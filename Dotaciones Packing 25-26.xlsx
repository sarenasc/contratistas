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hidePivotFieldList="1" defaultThemeVersion="124226"/>
  <xr:revisionPtr revIDLastSave="0" documentId="13_ncr:1_{B4821E88-0E4E-4F67-8019-FDC51F64C690}" xr6:coauthVersionLast="47" xr6:coauthVersionMax="47" xr10:uidLastSave="{00000000-0000-0000-0000-000000000000}"/>
  <bookViews>
    <workbookView xWindow="-28920" yWindow="555" windowWidth="29040" windowHeight="15720" tabRatio="790" xr2:uid="{00000000-000D-0000-FFFF-FFFF00000000}"/>
  </bookViews>
  <sheets>
    <sheet name="Dotaciones 25-26" sheetId="29" r:id="rId1"/>
  </sheets>
  <definedNames>
    <definedName name="_xlnm._FilterDatabase" localSheetId="0" hidden="1">'Dotaciones 25-26'!$A$2:$Q$39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1" i="29" l="1"/>
  <c r="R40" i="29"/>
  <c r="R39" i="29"/>
  <c r="Q21" i="29" l="1"/>
  <c r="Q39" i="29"/>
  <c r="Q40" i="29"/>
  <c r="Q41" i="29"/>
  <c r="N21" i="29"/>
  <c r="N41" i="29"/>
  <c r="N40" i="29"/>
  <c r="N39" i="29"/>
  <c r="O41" i="29" l="1"/>
  <c r="O40" i="29"/>
  <c r="O39" i="29"/>
  <c r="O21" i="29"/>
  <c r="M41" i="29"/>
  <c r="M40" i="29"/>
  <c r="M39" i="29"/>
  <c r="M21" i="29"/>
  <c r="L41" i="29" l="1"/>
  <c r="K41" i="29"/>
  <c r="J41" i="29"/>
  <c r="I41" i="29"/>
  <c r="H41" i="29"/>
  <c r="G41" i="29"/>
  <c r="L40" i="29"/>
  <c r="K40" i="29"/>
  <c r="J40" i="29"/>
  <c r="I40" i="29"/>
  <c r="H40" i="29"/>
  <c r="G40" i="29"/>
  <c r="L39" i="29"/>
  <c r="K39" i="29"/>
  <c r="J39" i="29"/>
  <c r="I39" i="29"/>
  <c r="H39" i="29"/>
  <c r="G39" i="29"/>
  <c r="L21" i="29"/>
  <c r="K21" i="29"/>
  <c r="J21" i="29"/>
  <c r="I21" i="29"/>
  <c r="H21" i="29"/>
  <c r="G21" i="29"/>
  <c r="P41" i="29" l="1"/>
  <c r="P40" i="29"/>
  <c r="P39" i="29"/>
  <c r="R21" i="29"/>
  <c r="P21" i="29"/>
</calcChain>
</file>

<file path=xl/sharedStrings.xml><?xml version="1.0" encoding="utf-8"?>
<sst xmlns="http://schemas.openxmlformats.org/spreadsheetml/2006/main" count="199" uniqueCount="67">
  <si>
    <t xml:space="preserve">Mandarina </t>
  </si>
  <si>
    <t>Área</t>
  </si>
  <si>
    <t>Packing</t>
  </si>
  <si>
    <t>Contratista</t>
  </si>
  <si>
    <t>Jefe de packing</t>
  </si>
  <si>
    <t>Ayudante jefe de packing</t>
  </si>
  <si>
    <t>Operador calibrador</t>
  </si>
  <si>
    <t>Tarjador</t>
  </si>
  <si>
    <t>Operador PLU</t>
  </si>
  <si>
    <t>Planta</t>
  </si>
  <si>
    <t>Segregado de cajas</t>
  </si>
  <si>
    <t>Total contratista</t>
  </si>
  <si>
    <t>Cargo</t>
  </si>
  <si>
    <t>Damascos</t>
  </si>
  <si>
    <t>Peras</t>
  </si>
  <si>
    <t>Kiwis</t>
  </si>
  <si>
    <t>Tipo Contrato</t>
  </si>
  <si>
    <t>Tipo cargo</t>
  </si>
  <si>
    <t>Jefatura</t>
  </si>
  <si>
    <t>Supervisión</t>
  </si>
  <si>
    <t>Volante altillo</t>
  </si>
  <si>
    <t>Temporada</t>
  </si>
  <si>
    <t>Operativo</t>
  </si>
  <si>
    <t>PALETIZADORES</t>
  </si>
  <si>
    <t>SELECCIÓN COMERCIAL</t>
  </si>
  <si>
    <t>SELLADORAS</t>
  </si>
  <si>
    <t>VOLANTE ASEO BAÑOS</t>
  </si>
  <si>
    <t>VOLANTE ASEO PACKING</t>
  </si>
  <si>
    <t>Transpaletero bins/comercial</t>
  </si>
  <si>
    <t>SECRETARIA DE PACKING</t>
  </si>
  <si>
    <t>SUPERVISOR DE LINEA</t>
  </si>
  <si>
    <t>OPERADOR DESCARTADOR</t>
  </si>
  <si>
    <t>SUPERVISOR PALLETIZADO</t>
  </si>
  <si>
    <t>OPERADOR VACIADOR</t>
  </si>
  <si>
    <t>OPERADOR DE GRUA HORQUILLA PACKING</t>
  </si>
  <si>
    <t>Supervisor sellado</t>
  </si>
  <si>
    <t>REQUERIMIENTO SEGÚN CARGO</t>
  </si>
  <si>
    <t>Género</t>
  </si>
  <si>
    <t>F</t>
  </si>
  <si>
    <t>M</t>
  </si>
  <si>
    <t>Ciruela</t>
  </si>
  <si>
    <t>Total PLANTA</t>
  </si>
  <si>
    <t>SUPERVISOR RAPID PACK</t>
  </si>
  <si>
    <t>Capturador</t>
  </si>
  <si>
    <t>Encargado de Altillo</t>
  </si>
  <si>
    <t>Encargado de Etiquetas</t>
  </si>
  <si>
    <t>Filtro de Pallet</t>
  </si>
  <si>
    <t>Frigorifico</t>
  </si>
  <si>
    <t>PRE SELECCION</t>
  </si>
  <si>
    <t>ACOMODADORA / EMBALADORA TRYPACK</t>
  </si>
  <si>
    <t>ACOMODADORA / EMBALADORA RAPID-PACK</t>
  </si>
  <si>
    <t>NA</t>
  </si>
  <si>
    <t>Naranjas</t>
  </si>
  <si>
    <t>Operario Vaciado Tottes</t>
  </si>
  <si>
    <t>Pesaje</t>
  </si>
  <si>
    <t>Acomodador de Cajas</t>
  </si>
  <si>
    <t>Lavado Bins Entrada a packing</t>
  </si>
  <si>
    <t>Recepcion</t>
  </si>
  <si>
    <t>Durazno</t>
  </si>
  <si>
    <t>Transpaletero Pallet Terminado</t>
  </si>
  <si>
    <t>Transpaletero y Flejado Pallet terminado</t>
  </si>
  <si>
    <t>ENZUNCHADO CIERRE DE PALLET</t>
  </si>
  <si>
    <t>Pomelo</t>
  </si>
  <si>
    <t>Nectarin Amarillo</t>
  </si>
  <si>
    <t>Nectarin Blanco</t>
  </si>
  <si>
    <t>Limon Lavado</t>
  </si>
  <si>
    <t>Limon Embalaje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</si>
</sst>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3" fontId="1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3" fontId="0" fillId="0" borderId="2" xfId="0" applyNumberFormat="1" applyBorder="1" applyAlignment="1">
      <alignment horizontal="left"/>
    </xf>
    <xf numFmtId="3" fontId="0" fillId="10" borderId="2" xfId="0" applyNumberFormat="1" applyFill="1" applyBorder="1" applyAlignment="1">
      <alignment horizontal="left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3" fontId="0" fillId="10" borderId="3" xfId="0" applyNumberFormat="1" applyFill="1" applyBorder="1" applyAlignment="1">
      <alignment horizontal="left"/>
    </xf>
    <xf numFmtId="0" fontId="0" fillId="3" borderId="0" xfId="0" applyFill="1" applyAlignment="1">
      <alignment horizontal="center"/>
    </xf>
    <xf numFmtId="3" fontId="1" fillId="3" borderId="0" xfId="0" applyNumberFormat="1" applyFont="1" applyFill="1" applyAlignment="1">
      <alignment horizontal="left"/>
    </xf>
    <xf numFmtId="3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3" xfId="0" applyNumberFormat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" fillId="5" borderId="4" xfId="0" applyFont="1" applyFill="1" applyBorder="1" applyAlignment="1"/>
    <xf numFmtId="0" fontId="1" fillId="5" borderId="5" xfId="0" applyFont="1" applyFill="1" applyBorder="1" applyAlignmen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915D7D78-C07A-4B1F-963A-840A48FF92FC}"/>
  </tableStyles>
  <colors>
    <mruColors>
      <color rgb="FFFFFF66"/>
      <color rgb="FF00FF00"/>
      <color rgb="FF66FF3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5C4D-CD89-449F-9BDC-9A116928101B}">
  <sheetPr>
    <tabColor rgb="FFFFFF00"/>
    <pageSetUpPr fitToPage="1"/>
  </sheetPr>
  <dimension ref="A1:R41"/>
  <sheetViews>
    <sheetView showGridLines="0" tabSelected="1" zoomScale="90" zoomScaleNormal="90" workbookViewId="0">
      <pane xSplit="5" ySplit="2" topLeftCell="F3" activePane="bottomRight" state="frozen"/>
      <selection activeCell="C28" sqref="C28"/>
      <selection pane="topRight" activeCell="C28" sqref="C28"/>
      <selection pane="bottomLeft" activeCell="C28" sqref="C28"/>
      <selection pane="bottomRight" activeCell="J6" sqref="J6"/>
    </sheetView>
  </sheetViews>
  <sheetFormatPr baseColWidth="10" defaultRowHeight="15" x14ac:dyDescent="0.25"/>
  <cols>
    <col min="1" max="1" width="4.5703125" customWidth="1"/>
    <col min="2" max="2" width="10.28515625" customWidth="1"/>
    <col min="3" max="3" width="44.28515625" customWidth="1"/>
    <col min="5" max="6" width="13" style="13" customWidth="1"/>
    <col min="7" max="7" width="11.42578125" style="13" customWidth="1"/>
    <col min="8" max="8" width="13" style="13" bestFit="1" customWidth="1"/>
    <col min="9" max="9" width="15" style="13" bestFit="1" customWidth="1"/>
    <col min="10" max="10" width="8.7109375" style="13" customWidth="1"/>
    <col min="11" max="11" width="8.140625" style="13" customWidth="1"/>
    <col min="12" max="12" width="10.140625" style="13" customWidth="1"/>
    <col min="13" max="13" width="17.28515625" style="13" customWidth="1"/>
    <col min="14" max="14" width="20.140625" style="13" customWidth="1"/>
    <col min="15" max="15" width="16.140625" style="13" customWidth="1"/>
    <col min="16" max="18" width="11.42578125" style="13" customWidth="1"/>
  </cols>
  <sheetData>
    <row r="1" spans="1:18" x14ac:dyDescent="0.25">
      <c r="A1" s="2"/>
      <c r="B1" s="2"/>
      <c r="C1" s="3"/>
      <c r="D1" s="3"/>
      <c r="E1" s="2"/>
      <c r="F1" s="2"/>
    </row>
    <row r="2" spans="1:18" x14ac:dyDescent="0.25">
      <c r="A2" s="4"/>
      <c r="B2" s="4" t="s">
        <v>1</v>
      </c>
      <c r="C2" s="5" t="s">
        <v>12</v>
      </c>
      <c r="D2" s="5" t="s">
        <v>17</v>
      </c>
      <c r="E2" s="5" t="s">
        <v>16</v>
      </c>
      <c r="F2" s="5" t="s">
        <v>37</v>
      </c>
      <c r="G2" s="30" t="s">
        <v>0</v>
      </c>
      <c r="H2" s="40" t="s">
        <v>65</v>
      </c>
      <c r="I2" s="41" t="s">
        <v>66</v>
      </c>
      <c r="J2" s="30" t="s">
        <v>52</v>
      </c>
      <c r="K2" s="35" t="s">
        <v>62</v>
      </c>
      <c r="L2" s="14" t="s">
        <v>13</v>
      </c>
      <c r="M2" s="15" t="s">
        <v>64</v>
      </c>
      <c r="N2" s="28" t="s">
        <v>63</v>
      </c>
      <c r="O2" s="15" t="s">
        <v>58</v>
      </c>
      <c r="P2" s="29" t="s">
        <v>40</v>
      </c>
      <c r="Q2" s="16" t="s">
        <v>14</v>
      </c>
      <c r="R2" s="17" t="s">
        <v>15</v>
      </c>
    </row>
    <row r="3" spans="1:18" x14ac:dyDescent="0.25">
      <c r="A3" s="6">
        <v>1</v>
      </c>
      <c r="B3" s="10" t="s">
        <v>2</v>
      </c>
      <c r="C3" s="18" t="s">
        <v>4</v>
      </c>
      <c r="D3" s="18" t="s">
        <v>18</v>
      </c>
      <c r="E3" s="6" t="s">
        <v>9</v>
      </c>
      <c r="F3" s="6" t="s">
        <v>51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/>
      <c r="O3" s="6">
        <v>1</v>
      </c>
      <c r="P3" s="6">
        <v>1</v>
      </c>
      <c r="Q3" s="6">
        <v>1</v>
      </c>
      <c r="R3" s="6">
        <v>1</v>
      </c>
    </row>
    <row r="4" spans="1:18" x14ac:dyDescent="0.25">
      <c r="A4" s="6">
        <v>2</v>
      </c>
      <c r="B4" s="10" t="s">
        <v>2</v>
      </c>
      <c r="C4" s="9" t="s">
        <v>5</v>
      </c>
      <c r="D4" s="18" t="s">
        <v>19</v>
      </c>
      <c r="E4" s="6" t="s">
        <v>21</v>
      </c>
      <c r="F4" s="6" t="s">
        <v>51</v>
      </c>
      <c r="G4" s="6">
        <v>1</v>
      </c>
      <c r="H4" s="11">
        <v>0</v>
      </c>
      <c r="I4" s="11">
        <v>1</v>
      </c>
      <c r="J4" s="6">
        <v>1</v>
      </c>
      <c r="K4" s="6">
        <v>1</v>
      </c>
      <c r="L4" s="6">
        <v>0</v>
      </c>
      <c r="M4" s="6">
        <v>1</v>
      </c>
      <c r="N4" s="6"/>
      <c r="O4" s="6">
        <v>1</v>
      </c>
      <c r="P4" s="6">
        <v>1</v>
      </c>
      <c r="Q4" s="6">
        <v>1</v>
      </c>
      <c r="R4" s="6">
        <v>1</v>
      </c>
    </row>
    <row r="5" spans="1:18" x14ac:dyDescent="0.25">
      <c r="A5" s="6">
        <v>3</v>
      </c>
      <c r="B5" s="10" t="s">
        <v>2</v>
      </c>
      <c r="C5" s="9" t="s">
        <v>29</v>
      </c>
      <c r="D5" s="18" t="s">
        <v>19</v>
      </c>
      <c r="E5" s="6" t="s">
        <v>21</v>
      </c>
      <c r="F5" s="6" t="s">
        <v>51</v>
      </c>
      <c r="G5" s="6">
        <v>1</v>
      </c>
      <c r="H5" s="11">
        <v>1</v>
      </c>
      <c r="I5" s="11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</row>
    <row r="6" spans="1:18" x14ac:dyDescent="0.25">
      <c r="A6" s="6">
        <v>4</v>
      </c>
      <c r="B6" s="10" t="s">
        <v>2</v>
      </c>
      <c r="C6" s="9" t="s">
        <v>6</v>
      </c>
      <c r="D6" s="18" t="s">
        <v>19</v>
      </c>
      <c r="E6" s="6" t="s">
        <v>9</v>
      </c>
      <c r="F6" s="6" t="s">
        <v>51</v>
      </c>
      <c r="G6" s="7">
        <v>1</v>
      </c>
      <c r="H6" s="11">
        <v>1</v>
      </c>
      <c r="I6" s="11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</row>
    <row r="7" spans="1:18" x14ac:dyDescent="0.25">
      <c r="A7" s="6">
        <v>5</v>
      </c>
      <c r="B7" s="10" t="s">
        <v>2</v>
      </c>
      <c r="C7" s="9" t="s">
        <v>45</v>
      </c>
      <c r="D7" s="18" t="s">
        <v>19</v>
      </c>
      <c r="E7" s="6" t="s">
        <v>21</v>
      </c>
      <c r="F7" s="6" t="s">
        <v>51</v>
      </c>
      <c r="G7" s="6">
        <v>0</v>
      </c>
      <c r="H7" s="11">
        <v>0</v>
      </c>
      <c r="I7" s="11">
        <v>0</v>
      </c>
      <c r="J7" s="6">
        <v>0</v>
      </c>
      <c r="K7" s="6">
        <v>0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36">
        <v>0</v>
      </c>
    </row>
    <row r="8" spans="1:18" x14ac:dyDescent="0.25">
      <c r="A8" s="6">
        <v>6</v>
      </c>
      <c r="B8" s="10" t="s">
        <v>2</v>
      </c>
      <c r="C8" s="9" t="s">
        <v>31</v>
      </c>
      <c r="D8" s="18" t="s">
        <v>19</v>
      </c>
      <c r="E8" s="6" t="s">
        <v>21</v>
      </c>
      <c r="F8" s="6" t="s">
        <v>51</v>
      </c>
      <c r="G8" s="32">
        <v>1</v>
      </c>
      <c r="H8" s="11">
        <v>1</v>
      </c>
      <c r="I8" s="11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</row>
    <row r="9" spans="1:18" x14ac:dyDescent="0.25">
      <c r="A9" s="6">
        <v>7</v>
      </c>
      <c r="B9" s="10" t="s">
        <v>2</v>
      </c>
      <c r="C9" s="9" t="s">
        <v>33</v>
      </c>
      <c r="D9" s="18" t="s">
        <v>19</v>
      </c>
      <c r="E9" s="6" t="s">
        <v>21</v>
      </c>
      <c r="F9" s="6" t="s">
        <v>51</v>
      </c>
      <c r="G9" s="33">
        <v>1</v>
      </c>
      <c r="H9" s="11">
        <v>1</v>
      </c>
      <c r="I9" s="11">
        <v>1</v>
      </c>
      <c r="J9" s="10">
        <v>1</v>
      </c>
      <c r="K9" s="10">
        <v>1</v>
      </c>
      <c r="L9" s="10">
        <v>1</v>
      </c>
      <c r="M9" s="10">
        <v>1</v>
      </c>
      <c r="N9" s="10">
        <v>1</v>
      </c>
      <c r="O9" s="10">
        <v>1</v>
      </c>
      <c r="P9" s="10">
        <v>1</v>
      </c>
      <c r="Q9" s="10">
        <v>1</v>
      </c>
      <c r="R9" s="10">
        <v>1</v>
      </c>
    </row>
    <row r="10" spans="1:18" x14ac:dyDescent="0.25">
      <c r="A10" s="6">
        <v>8</v>
      </c>
      <c r="B10" s="10" t="s">
        <v>2</v>
      </c>
      <c r="C10" s="9" t="s">
        <v>34</v>
      </c>
      <c r="D10" s="18" t="s">
        <v>19</v>
      </c>
      <c r="E10" s="6" t="s">
        <v>21</v>
      </c>
      <c r="F10" s="6" t="s">
        <v>51</v>
      </c>
      <c r="G10" s="26">
        <v>1</v>
      </c>
      <c r="H10" s="11">
        <v>3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</row>
    <row r="11" spans="1:18" x14ac:dyDescent="0.25">
      <c r="A11" s="6">
        <v>9</v>
      </c>
      <c r="B11" s="10" t="s">
        <v>2</v>
      </c>
      <c r="C11" s="9" t="s">
        <v>8</v>
      </c>
      <c r="D11" s="18" t="s">
        <v>19</v>
      </c>
      <c r="E11" s="6" t="s">
        <v>21</v>
      </c>
      <c r="F11" s="6" t="s">
        <v>51</v>
      </c>
      <c r="G11" s="26">
        <v>0</v>
      </c>
      <c r="H11" s="11">
        <v>0</v>
      </c>
      <c r="I11" s="11">
        <v>1</v>
      </c>
      <c r="J11" s="11">
        <v>1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</row>
    <row r="12" spans="1:18" x14ac:dyDescent="0.25">
      <c r="A12" s="6">
        <v>10</v>
      </c>
      <c r="B12" s="10" t="s">
        <v>2</v>
      </c>
      <c r="C12" s="9" t="s">
        <v>30</v>
      </c>
      <c r="D12" s="18" t="s">
        <v>19</v>
      </c>
      <c r="E12" s="6" t="s">
        <v>21</v>
      </c>
      <c r="F12" s="6" t="s">
        <v>51</v>
      </c>
      <c r="G12" s="8">
        <v>1</v>
      </c>
      <c r="H12" s="11">
        <v>1</v>
      </c>
      <c r="I12" s="11">
        <v>2</v>
      </c>
      <c r="J12" s="8">
        <v>2</v>
      </c>
      <c r="K12" s="8">
        <v>2</v>
      </c>
      <c r="L12" s="8">
        <v>2</v>
      </c>
      <c r="M12" s="8">
        <v>2</v>
      </c>
      <c r="N12" s="8">
        <v>2</v>
      </c>
      <c r="O12" s="8">
        <v>2</v>
      </c>
      <c r="P12" s="8">
        <v>2</v>
      </c>
      <c r="Q12" s="8">
        <v>2</v>
      </c>
      <c r="R12" s="8">
        <v>2</v>
      </c>
    </row>
    <row r="13" spans="1:18" x14ac:dyDescent="0.25">
      <c r="A13" s="6">
        <v>11</v>
      </c>
      <c r="B13" s="10" t="s">
        <v>2</v>
      </c>
      <c r="C13" s="9" t="s">
        <v>42</v>
      </c>
      <c r="D13" s="18" t="s">
        <v>19</v>
      </c>
      <c r="E13" s="6" t="s">
        <v>21</v>
      </c>
      <c r="F13" s="6" t="s">
        <v>51</v>
      </c>
      <c r="G13" s="8">
        <v>1</v>
      </c>
      <c r="H13" s="11">
        <v>0</v>
      </c>
      <c r="I13" s="11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37">
        <v>0</v>
      </c>
    </row>
    <row r="14" spans="1:18" x14ac:dyDescent="0.25">
      <c r="A14" s="6">
        <v>12</v>
      </c>
      <c r="B14" s="10" t="s">
        <v>2</v>
      </c>
      <c r="C14" s="9" t="s">
        <v>32</v>
      </c>
      <c r="D14" s="18" t="s">
        <v>19</v>
      </c>
      <c r="E14" s="6" t="s">
        <v>21</v>
      </c>
      <c r="F14" s="6" t="s">
        <v>51</v>
      </c>
      <c r="G14" s="7">
        <v>1</v>
      </c>
      <c r="H14" s="11">
        <v>0</v>
      </c>
      <c r="I14" s="11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</row>
    <row r="15" spans="1:18" x14ac:dyDescent="0.25">
      <c r="A15" s="6">
        <v>13</v>
      </c>
      <c r="B15" s="10" t="s">
        <v>2</v>
      </c>
      <c r="C15" s="9" t="s">
        <v>7</v>
      </c>
      <c r="D15" s="18" t="s">
        <v>19</v>
      </c>
      <c r="E15" s="6" t="s">
        <v>21</v>
      </c>
      <c r="F15" s="6" t="s">
        <v>51</v>
      </c>
      <c r="G15" s="10">
        <v>1</v>
      </c>
      <c r="H15" s="11">
        <v>1</v>
      </c>
      <c r="I15" s="10">
        <v>1</v>
      </c>
      <c r="J15" s="10">
        <v>1</v>
      </c>
      <c r="K15" s="10">
        <v>1</v>
      </c>
      <c r="L15" s="10">
        <v>1</v>
      </c>
      <c r="M15" s="10">
        <v>1</v>
      </c>
      <c r="N15" s="10">
        <v>1</v>
      </c>
      <c r="O15" s="10">
        <v>1</v>
      </c>
      <c r="P15" s="10">
        <v>1</v>
      </c>
      <c r="Q15" s="10">
        <v>1</v>
      </c>
      <c r="R15" s="10">
        <v>1</v>
      </c>
    </row>
    <row r="16" spans="1:18" x14ac:dyDescent="0.25">
      <c r="A16" s="6">
        <v>14</v>
      </c>
      <c r="B16" s="10" t="s">
        <v>2</v>
      </c>
      <c r="C16" s="9" t="s">
        <v>43</v>
      </c>
      <c r="D16" s="18" t="s">
        <v>19</v>
      </c>
      <c r="E16" s="6" t="s">
        <v>21</v>
      </c>
      <c r="F16" s="6" t="s">
        <v>51</v>
      </c>
      <c r="G16" s="10">
        <v>1</v>
      </c>
      <c r="H16" s="11">
        <v>0</v>
      </c>
      <c r="I16" s="10">
        <v>2</v>
      </c>
      <c r="J16" s="10">
        <v>3</v>
      </c>
      <c r="K16" s="10">
        <v>1</v>
      </c>
      <c r="L16" s="10">
        <v>1</v>
      </c>
      <c r="M16" s="10">
        <v>2</v>
      </c>
      <c r="N16" s="10">
        <v>2</v>
      </c>
      <c r="O16" s="10">
        <v>2</v>
      </c>
      <c r="P16" s="10">
        <v>2</v>
      </c>
      <c r="Q16" s="10">
        <v>1</v>
      </c>
      <c r="R16" s="10">
        <v>1</v>
      </c>
    </row>
    <row r="17" spans="1:18" x14ac:dyDescent="0.25">
      <c r="A17" s="6">
        <v>15</v>
      </c>
      <c r="B17" s="10" t="s">
        <v>2</v>
      </c>
      <c r="C17" s="9" t="s">
        <v>35</v>
      </c>
      <c r="D17" s="18" t="s">
        <v>19</v>
      </c>
      <c r="E17" s="6" t="s">
        <v>21</v>
      </c>
      <c r="F17" s="6" t="s">
        <v>51</v>
      </c>
      <c r="G17" s="6">
        <v>0</v>
      </c>
      <c r="H17" s="11">
        <v>0</v>
      </c>
      <c r="I17" s="11">
        <v>0</v>
      </c>
      <c r="J17" s="6">
        <v>0</v>
      </c>
      <c r="K17" s="6">
        <v>0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0</v>
      </c>
      <c r="R17" s="36">
        <v>0</v>
      </c>
    </row>
    <row r="18" spans="1:18" x14ac:dyDescent="0.25">
      <c r="A18" s="6">
        <v>16</v>
      </c>
      <c r="B18" s="10" t="s">
        <v>2</v>
      </c>
      <c r="C18" s="9" t="s">
        <v>44</v>
      </c>
      <c r="D18" s="18" t="s">
        <v>19</v>
      </c>
      <c r="E18" s="6" t="s">
        <v>21</v>
      </c>
      <c r="F18" s="6" t="s">
        <v>51</v>
      </c>
      <c r="G18" s="6">
        <v>1</v>
      </c>
      <c r="H18" s="11">
        <v>0</v>
      </c>
      <c r="I18" s="10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</row>
    <row r="19" spans="1:18" x14ac:dyDescent="0.25">
      <c r="A19" s="6">
        <v>17</v>
      </c>
      <c r="B19" s="10" t="s">
        <v>47</v>
      </c>
      <c r="C19" s="9" t="s">
        <v>46</v>
      </c>
      <c r="D19" s="18" t="s">
        <v>19</v>
      </c>
      <c r="E19" s="6" t="s">
        <v>21</v>
      </c>
      <c r="F19" s="6" t="s">
        <v>51</v>
      </c>
      <c r="G19" s="11">
        <v>1</v>
      </c>
      <c r="H19" s="11">
        <v>0</v>
      </c>
      <c r="I19" s="11">
        <v>1</v>
      </c>
      <c r="J19" s="11">
        <v>1</v>
      </c>
      <c r="K19" s="11">
        <v>1</v>
      </c>
      <c r="L19" s="11">
        <v>1</v>
      </c>
      <c r="M19" s="11">
        <v>1</v>
      </c>
      <c r="N19" s="11">
        <v>1</v>
      </c>
      <c r="O19" s="11">
        <v>1</v>
      </c>
      <c r="P19" s="11">
        <v>1</v>
      </c>
      <c r="Q19" s="11">
        <v>1</v>
      </c>
      <c r="R19" s="38">
        <v>0</v>
      </c>
    </row>
    <row r="20" spans="1:18" x14ac:dyDescent="0.25">
      <c r="A20" s="6">
        <v>18</v>
      </c>
      <c r="B20" s="10" t="s">
        <v>2</v>
      </c>
      <c r="C20" s="9" t="s">
        <v>54</v>
      </c>
      <c r="D20" s="18" t="s">
        <v>19</v>
      </c>
      <c r="E20" s="6" t="s">
        <v>21</v>
      </c>
      <c r="F20" s="6" t="s">
        <v>51</v>
      </c>
      <c r="G20" s="11">
        <v>0</v>
      </c>
      <c r="H20" s="11">
        <v>1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38">
        <v>0</v>
      </c>
    </row>
    <row r="21" spans="1:18" s="31" customFormat="1" x14ac:dyDescent="0.25">
      <c r="A21" s="4"/>
      <c r="B21" s="4"/>
      <c r="C21" s="12" t="s">
        <v>41</v>
      </c>
      <c r="D21" s="12"/>
      <c r="E21" s="1"/>
      <c r="F21" s="1"/>
      <c r="G21" s="4">
        <f t="shared" ref="G21:R21" si="0">SUM(G3:G20)</f>
        <v>14</v>
      </c>
      <c r="H21" s="4">
        <f t="shared" si="0"/>
        <v>11</v>
      </c>
      <c r="I21" s="4">
        <f t="shared" si="0"/>
        <v>17</v>
      </c>
      <c r="J21" s="4">
        <f t="shared" si="0"/>
        <v>18</v>
      </c>
      <c r="K21" s="4">
        <f t="shared" si="0"/>
        <v>16</v>
      </c>
      <c r="L21" s="4">
        <f t="shared" si="0"/>
        <v>17</v>
      </c>
      <c r="M21" s="4">
        <f t="shared" si="0"/>
        <v>19</v>
      </c>
      <c r="N21" s="4">
        <f t="shared" ref="N21" si="1">SUM(N3:N20)</f>
        <v>17</v>
      </c>
      <c r="O21" s="4">
        <f t="shared" si="0"/>
        <v>19</v>
      </c>
      <c r="P21" s="4">
        <f>SUM(P3:P20)</f>
        <v>19</v>
      </c>
      <c r="Q21" s="4">
        <f t="shared" si="0"/>
        <v>17</v>
      </c>
      <c r="R21" s="4">
        <f t="shared" si="0"/>
        <v>14</v>
      </c>
    </row>
    <row r="22" spans="1:18" x14ac:dyDescent="0.25">
      <c r="A22" s="6">
        <v>1</v>
      </c>
      <c r="B22" s="10" t="s">
        <v>2</v>
      </c>
      <c r="C22" s="27" t="s">
        <v>48</v>
      </c>
      <c r="D22" s="18" t="s">
        <v>22</v>
      </c>
      <c r="E22" s="6" t="s">
        <v>3</v>
      </c>
      <c r="F22" s="6" t="s">
        <v>38</v>
      </c>
      <c r="G22" s="11">
        <v>2</v>
      </c>
      <c r="H22" s="11">
        <v>4</v>
      </c>
      <c r="I22" s="11">
        <v>6</v>
      </c>
      <c r="J22" s="11">
        <v>2</v>
      </c>
      <c r="K22" s="11">
        <v>6</v>
      </c>
      <c r="L22" s="11">
        <v>2</v>
      </c>
      <c r="M22" s="11">
        <v>2</v>
      </c>
      <c r="N22" s="11">
        <v>2</v>
      </c>
      <c r="O22" s="11">
        <v>2</v>
      </c>
      <c r="P22" s="11">
        <v>2</v>
      </c>
      <c r="Q22" s="11">
        <v>2</v>
      </c>
      <c r="R22" s="11">
        <v>2</v>
      </c>
    </row>
    <row r="23" spans="1:18" x14ac:dyDescent="0.25">
      <c r="A23" s="7">
        <v>2</v>
      </c>
      <c r="B23" s="21" t="s">
        <v>2</v>
      </c>
      <c r="C23" s="22" t="s">
        <v>49</v>
      </c>
      <c r="D23" s="19" t="s">
        <v>22</v>
      </c>
      <c r="E23" s="21" t="s">
        <v>3</v>
      </c>
      <c r="F23" s="21" t="s">
        <v>38</v>
      </c>
      <c r="G23" s="20">
        <v>16</v>
      </c>
      <c r="H23" s="20">
        <v>8</v>
      </c>
      <c r="I23" s="20">
        <v>24</v>
      </c>
      <c r="J23" s="20">
        <v>60</v>
      </c>
      <c r="K23" s="20">
        <v>36</v>
      </c>
      <c r="L23" s="20">
        <v>48</v>
      </c>
      <c r="M23" s="20">
        <v>24</v>
      </c>
      <c r="N23" s="20">
        <v>48</v>
      </c>
      <c r="O23" s="20">
        <v>36</v>
      </c>
      <c r="P23" s="20">
        <v>32</v>
      </c>
      <c r="Q23" s="20">
        <v>54</v>
      </c>
      <c r="R23" s="39">
        <v>24</v>
      </c>
    </row>
    <row r="24" spans="1:18" x14ac:dyDescent="0.25">
      <c r="A24" s="6">
        <v>3</v>
      </c>
      <c r="B24" s="21" t="s">
        <v>2</v>
      </c>
      <c r="C24" s="22" t="s">
        <v>50</v>
      </c>
      <c r="D24" s="19" t="s">
        <v>22</v>
      </c>
      <c r="E24" s="21" t="s">
        <v>3</v>
      </c>
      <c r="F24" s="21" t="s">
        <v>38</v>
      </c>
      <c r="G24" s="20">
        <v>8</v>
      </c>
      <c r="H24" s="20">
        <v>0</v>
      </c>
      <c r="I24" s="20">
        <v>12</v>
      </c>
      <c r="J24" s="20">
        <v>16</v>
      </c>
      <c r="K24" s="20">
        <v>0</v>
      </c>
      <c r="L24" s="20">
        <v>0</v>
      </c>
      <c r="M24" s="20">
        <v>24</v>
      </c>
      <c r="N24" s="20">
        <v>20</v>
      </c>
      <c r="O24" s="20">
        <v>16</v>
      </c>
      <c r="P24" s="20">
        <v>16</v>
      </c>
      <c r="Q24" s="20">
        <v>16</v>
      </c>
      <c r="R24" s="39">
        <v>12</v>
      </c>
    </row>
    <row r="25" spans="1:18" x14ac:dyDescent="0.25">
      <c r="A25" s="7">
        <v>4</v>
      </c>
      <c r="B25" s="10" t="s">
        <v>2</v>
      </c>
      <c r="C25" s="27" t="s">
        <v>24</v>
      </c>
      <c r="D25" s="18" t="s">
        <v>22</v>
      </c>
      <c r="E25" s="6" t="s">
        <v>3</v>
      </c>
      <c r="F25" s="6" t="s">
        <v>38</v>
      </c>
      <c r="G25" s="11">
        <v>2</v>
      </c>
      <c r="H25" s="11">
        <v>2</v>
      </c>
      <c r="I25" s="11">
        <v>2</v>
      </c>
      <c r="J25" s="11">
        <v>2</v>
      </c>
      <c r="K25" s="11">
        <v>2</v>
      </c>
      <c r="L25" s="11">
        <v>2</v>
      </c>
      <c r="M25" s="11">
        <v>2</v>
      </c>
      <c r="N25" s="11">
        <v>2</v>
      </c>
      <c r="O25" s="11">
        <v>2</v>
      </c>
      <c r="P25" s="11">
        <v>2</v>
      </c>
      <c r="Q25" s="11">
        <v>3</v>
      </c>
      <c r="R25" s="11">
        <v>2</v>
      </c>
    </row>
    <row r="26" spans="1:18" x14ac:dyDescent="0.25">
      <c r="A26" s="21">
        <v>5</v>
      </c>
      <c r="B26" s="21" t="s">
        <v>2</v>
      </c>
      <c r="C26" s="22" t="s">
        <v>23</v>
      </c>
      <c r="D26" s="19" t="s">
        <v>22</v>
      </c>
      <c r="E26" s="21" t="s">
        <v>3</v>
      </c>
      <c r="F26" s="21" t="s">
        <v>39</v>
      </c>
      <c r="G26" s="20">
        <v>4</v>
      </c>
      <c r="H26" s="20">
        <v>0</v>
      </c>
      <c r="I26" s="20">
        <v>4</v>
      </c>
      <c r="J26" s="20">
        <v>12</v>
      </c>
      <c r="K26" s="20">
        <v>4</v>
      </c>
      <c r="L26" s="20">
        <v>6</v>
      </c>
      <c r="M26" s="20">
        <v>14</v>
      </c>
      <c r="N26" s="20">
        <v>14</v>
      </c>
      <c r="O26" s="20">
        <v>12</v>
      </c>
      <c r="P26" s="20">
        <v>6</v>
      </c>
      <c r="Q26" s="20">
        <v>6</v>
      </c>
      <c r="R26" s="39">
        <v>7</v>
      </c>
    </row>
    <row r="27" spans="1:18" x14ac:dyDescent="0.25">
      <c r="A27" s="20">
        <v>6</v>
      </c>
      <c r="B27" s="21" t="s">
        <v>2</v>
      </c>
      <c r="C27" s="22" t="s">
        <v>61</v>
      </c>
      <c r="D27" s="19" t="s">
        <v>22</v>
      </c>
      <c r="E27" s="21" t="s">
        <v>3</v>
      </c>
      <c r="F27" s="21" t="s">
        <v>39</v>
      </c>
      <c r="G27" s="20">
        <v>1</v>
      </c>
      <c r="H27" s="20">
        <v>0</v>
      </c>
      <c r="I27" s="20">
        <v>2</v>
      </c>
      <c r="J27" s="20">
        <v>3</v>
      </c>
      <c r="K27" s="20">
        <v>2</v>
      </c>
      <c r="L27" s="20">
        <v>1</v>
      </c>
      <c r="M27" s="20">
        <v>3</v>
      </c>
      <c r="N27" s="20">
        <v>3</v>
      </c>
      <c r="O27" s="20">
        <v>2</v>
      </c>
      <c r="P27" s="20">
        <v>1</v>
      </c>
      <c r="Q27" s="20">
        <v>1</v>
      </c>
      <c r="R27" s="39">
        <v>1</v>
      </c>
    </row>
    <row r="28" spans="1:18" x14ac:dyDescent="0.25">
      <c r="A28" s="6">
        <v>7</v>
      </c>
      <c r="B28" s="21" t="s">
        <v>2</v>
      </c>
      <c r="C28" s="22" t="s">
        <v>25</v>
      </c>
      <c r="D28" s="19" t="s">
        <v>22</v>
      </c>
      <c r="E28" s="21" t="s">
        <v>3</v>
      </c>
      <c r="F28" s="21" t="s">
        <v>38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16</v>
      </c>
      <c r="N28" s="20">
        <v>0</v>
      </c>
      <c r="O28" s="20">
        <v>0</v>
      </c>
      <c r="P28" s="20">
        <v>8</v>
      </c>
      <c r="Q28" s="20">
        <v>0</v>
      </c>
      <c r="R28" s="20">
        <v>0</v>
      </c>
    </row>
    <row r="29" spans="1:18" x14ac:dyDescent="0.25">
      <c r="A29" s="34">
        <v>8</v>
      </c>
      <c r="B29" s="10" t="s">
        <v>2</v>
      </c>
      <c r="C29" s="27" t="s">
        <v>10</v>
      </c>
      <c r="D29" s="18" t="s">
        <v>22</v>
      </c>
      <c r="E29" s="10" t="s">
        <v>3</v>
      </c>
      <c r="F29" s="10" t="s">
        <v>39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2</v>
      </c>
      <c r="M29" s="11">
        <v>2</v>
      </c>
      <c r="N29" s="11">
        <v>2</v>
      </c>
      <c r="O29" s="11">
        <v>2</v>
      </c>
      <c r="P29" s="11">
        <v>0</v>
      </c>
      <c r="Q29" s="11">
        <v>0</v>
      </c>
      <c r="R29" s="11">
        <v>0</v>
      </c>
    </row>
    <row r="30" spans="1:18" x14ac:dyDescent="0.25">
      <c r="A30" s="6">
        <v>9</v>
      </c>
      <c r="B30" s="10" t="s">
        <v>2</v>
      </c>
      <c r="C30" s="27" t="s">
        <v>28</v>
      </c>
      <c r="D30" s="18" t="s">
        <v>22</v>
      </c>
      <c r="E30" s="10" t="s">
        <v>3</v>
      </c>
      <c r="F30" s="10" t="s">
        <v>39</v>
      </c>
      <c r="G30" s="11">
        <v>1</v>
      </c>
      <c r="H30" s="11">
        <v>3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>
        <v>1</v>
      </c>
      <c r="P30" s="11">
        <v>1</v>
      </c>
      <c r="Q30" s="11">
        <v>1</v>
      </c>
      <c r="R30" s="11">
        <v>1</v>
      </c>
    </row>
    <row r="31" spans="1:18" x14ac:dyDescent="0.25">
      <c r="A31" s="7">
        <v>10</v>
      </c>
      <c r="B31" s="10" t="s">
        <v>2</v>
      </c>
      <c r="C31" s="27" t="s">
        <v>27</v>
      </c>
      <c r="D31" s="18" t="s">
        <v>22</v>
      </c>
      <c r="E31" s="10" t="s">
        <v>3</v>
      </c>
      <c r="F31" s="10" t="s">
        <v>38</v>
      </c>
      <c r="G31" s="11">
        <v>1</v>
      </c>
      <c r="H31" s="11">
        <v>1</v>
      </c>
      <c r="I31" s="11">
        <v>2</v>
      </c>
      <c r="J31" s="11">
        <v>2</v>
      </c>
      <c r="K31" s="11">
        <v>2</v>
      </c>
      <c r="L31" s="11">
        <v>2</v>
      </c>
      <c r="M31" s="11">
        <v>2</v>
      </c>
      <c r="N31" s="11">
        <v>2</v>
      </c>
      <c r="O31" s="11">
        <v>2</v>
      </c>
      <c r="P31" s="11">
        <v>2</v>
      </c>
      <c r="Q31" s="11">
        <v>2</v>
      </c>
      <c r="R31" s="11">
        <v>1</v>
      </c>
    </row>
    <row r="32" spans="1:18" x14ac:dyDescent="0.25">
      <c r="A32" s="6">
        <v>11</v>
      </c>
      <c r="B32" s="10" t="s">
        <v>2</v>
      </c>
      <c r="C32" s="27" t="s">
        <v>26</v>
      </c>
      <c r="D32" s="18" t="s">
        <v>22</v>
      </c>
      <c r="E32" s="10" t="s">
        <v>3</v>
      </c>
      <c r="F32" s="10" t="s">
        <v>38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1</v>
      </c>
      <c r="M32" s="11">
        <v>1</v>
      </c>
      <c r="N32" s="11">
        <v>1</v>
      </c>
      <c r="O32" s="11">
        <v>1</v>
      </c>
      <c r="P32" s="11">
        <v>1</v>
      </c>
      <c r="Q32" s="11">
        <v>1</v>
      </c>
      <c r="R32" s="11">
        <v>1</v>
      </c>
    </row>
    <row r="33" spans="1:18" x14ac:dyDescent="0.25">
      <c r="A33" s="7">
        <v>12</v>
      </c>
      <c r="B33" s="21" t="s">
        <v>2</v>
      </c>
      <c r="C33" s="22" t="s">
        <v>20</v>
      </c>
      <c r="D33" s="19" t="s">
        <v>22</v>
      </c>
      <c r="E33" s="21" t="s">
        <v>3</v>
      </c>
      <c r="F33" s="21" t="s">
        <v>38</v>
      </c>
      <c r="G33" s="20">
        <v>2</v>
      </c>
      <c r="H33" s="20">
        <v>0</v>
      </c>
      <c r="I33" s="20">
        <v>4</v>
      </c>
      <c r="J33" s="20">
        <v>6</v>
      </c>
      <c r="K33" s="20">
        <v>4</v>
      </c>
      <c r="L33" s="20">
        <v>4</v>
      </c>
      <c r="M33" s="20">
        <v>14</v>
      </c>
      <c r="N33" s="20">
        <v>14</v>
      </c>
      <c r="O33" s="20">
        <v>12</v>
      </c>
      <c r="P33" s="20">
        <v>10</v>
      </c>
      <c r="Q33" s="20">
        <v>4</v>
      </c>
      <c r="R33" s="39">
        <v>9</v>
      </c>
    </row>
    <row r="34" spans="1:18" x14ac:dyDescent="0.25">
      <c r="A34" s="6">
        <v>13</v>
      </c>
      <c r="B34" s="10" t="s">
        <v>2</v>
      </c>
      <c r="C34" s="27" t="s">
        <v>53</v>
      </c>
      <c r="D34" s="18" t="s">
        <v>22</v>
      </c>
      <c r="E34" s="10" t="s">
        <v>3</v>
      </c>
      <c r="F34" s="10" t="s">
        <v>39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4</v>
      </c>
      <c r="M34" s="11">
        <v>0</v>
      </c>
      <c r="N34" s="11">
        <v>0</v>
      </c>
      <c r="O34" s="11">
        <v>0</v>
      </c>
      <c r="P34" s="11">
        <v>6</v>
      </c>
      <c r="Q34" s="11">
        <v>0</v>
      </c>
      <c r="R34" s="11">
        <v>0</v>
      </c>
    </row>
    <row r="35" spans="1:18" x14ac:dyDescent="0.25">
      <c r="A35" s="7">
        <v>14</v>
      </c>
      <c r="B35" s="10" t="s">
        <v>2</v>
      </c>
      <c r="C35" s="27" t="s">
        <v>55</v>
      </c>
      <c r="D35" s="18" t="s">
        <v>22</v>
      </c>
      <c r="E35" s="10" t="s">
        <v>3</v>
      </c>
      <c r="F35" s="10" t="s">
        <v>39</v>
      </c>
      <c r="G35" s="11">
        <v>2</v>
      </c>
      <c r="H35" s="11">
        <v>0</v>
      </c>
      <c r="I35" s="11">
        <v>3</v>
      </c>
      <c r="J35" s="11">
        <v>3</v>
      </c>
      <c r="K35" s="11">
        <v>3</v>
      </c>
      <c r="L35" s="11">
        <v>1</v>
      </c>
      <c r="M35" s="11">
        <v>3</v>
      </c>
      <c r="N35" s="11">
        <v>3</v>
      </c>
      <c r="O35" s="11">
        <v>3</v>
      </c>
      <c r="P35" s="11">
        <v>2</v>
      </c>
      <c r="Q35" s="11">
        <v>0</v>
      </c>
      <c r="R35" s="11">
        <v>2</v>
      </c>
    </row>
    <row r="36" spans="1:18" x14ac:dyDescent="0.25">
      <c r="A36" s="6">
        <v>15</v>
      </c>
      <c r="B36" s="10" t="s">
        <v>57</v>
      </c>
      <c r="C36" s="27" t="s">
        <v>56</v>
      </c>
      <c r="D36" s="18" t="s">
        <v>22</v>
      </c>
      <c r="E36" s="10" t="s">
        <v>3</v>
      </c>
      <c r="F36" s="10" t="s">
        <v>39</v>
      </c>
      <c r="G36" s="11">
        <v>0</v>
      </c>
      <c r="H36" s="11">
        <v>0</v>
      </c>
      <c r="I36" s="11">
        <v>0</v>
      </c>
      <c r="J36" s="11">
        <v>1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</row>
    <row r="37" spans="1:18" x14ac:dyDescent="0.25">
      <c r="A37" s="21">
        <v>16</v>
      </c>
      <c r="B37" s="10" t="s">
        <v>2</v>
      </c>
      <c r="C37" s="9" t="s">
        <v>60</v>
      </c>
      <c r="D37" s="18" t="s">
        <v>22</v>
      </c>
      <c r="E37" s="10" t="s">
        <v>3</v>
      </c>
      <c r="F37" s="10" t="s">
        <v>51</v>
      </c>
      <c r="G37" s="11">
        <v>1</v>
      </c>
      <c r="H37" s="11">
        <v>0</v>
      </c>
      <c r="I37" s="11">
        <v>1</v>
      </c>
      <c r="J37" s="11">
        <v>1</v>
      </c>
      <c r="K37" s="11">
        <v>1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>
        <v>1</v>
      </c>
      <c r="R37" s="11">
        <v>1</v>
      </c>
    </row>
    <row r="38" spans="1:18" x14ac:dyDescent="0.25">
      <c r="A38" s="20">
        <v>17</v>
      </c>
      <c r="B38" s="10" t="s">
        <v>2</v>
      </c>
      <c r="C38" s="27" t="s">
        <v>59</v>
      </c>
      <c r="D38" s="18" t="s">
        <v>22</v>
      </c>
      <c r="E38" s="10" t="s">
        <v>3</v>
      </c>
      <c r="F38" s="10" t="s">
        <v>39</v>
      </c>
      <c r="G38" s="11">
        <v>0</v>
      </c>
      <c r="H38" s="11">
        <v>0</v>
      </c>
      <c r="I38" s="11">
        <v>0</v>
      </c>
      <c r="J38" s="26">
        <v>0</v>
      </c>
      <c r="K38" s="26">
        <v>0</v>
      </c>
      <c r="L38" s="11">
        <v>0</v>
      </c>
      <c r="M38" s="26">
        <v>0</v>
      </c>
      <c r="N38" s="26">
        <v>0</v>
      </c>
      <c r="O38" s="26">
        <v>0</v>
      </c>
      <c r="P38" s="11">
        <v>0</v>
      </c>
      <c r="Q38" s="11">
        <v>0</v>
      </c>
      <c r="R38" s="11">
        <v>0</v>
      </c>
    </row>
    <row r="39" spans="1:18" x14ac:dyDescent="0.25">
      <c r="A39" s="4"/>
      <c r="B39" s="4"/>
      <c r="C39" s="12" t="s">
        <v>11</v>
      </c>
      <c r="D39" s="12"/>
      <c r="E39" s="1"/>
      <c r="F39" s="1"/>
      <c r="G39" s="4">
        <f t="shared" ref="G39:Q39" si="2">SUM(G22:G38)</f>
        <v>41</v>
      </c>
      <c r="H39" s="4">
        <f t="shared" si="2"/>
        <v>19</v>
      </c>
      <c r="I39" s="4">
        <f t="shared" si="2"/>
        <v>62</v>
      </c>
      <c r="J39" s="4">
        <f t="shared" si="2"/>
        <v>110</v>
      </c>
      <c r="K39" s="4">
        <f t="shared" si="2"/>
        <v>62</v>
      </c>
      <c r="L39" s="4">
        <f t="shared" si="2"/>
        <v>75</v>
      </c>
      <c r="M39" s="4">
        <f t="shared" si="2"/>
        <v>109</v>
      </c>
      <c r="N39" s="4">
        <f t="shared" ref="N39" si="3">SUM(N22:N38)</f>
        <v>113</v>
      </c>
      <c r="O39" s="4">
        <f t="shared" si="2"/>
        <v>92</v>
      </c>
      <c r="P39" s="4">
        <f>SUM(P22:P38)</f>
        <v>90</v>
      </c>
      <c r="Q39" s="4">
        <f t="shared" si="2"/>
        <v>91</v>
      </c>
      <c r="R39" s="4">
        <f>SUM(R22:R38)</f>
        <v>63</v>
      </c>
    </row>
    <row r="40" spans="1:18" x14ac:dyDescent="0.25">
      <c r="A40" s="23"/>
      <c r="B40" s="23"/>
      <c r="C40" s="24" t="s">
        <v>36</v>
      </c>
      <c r="D40" s="25" t="s">
        <v>39</v>
      </c>
      <c r="E40" s="1" t="s">
        <v>3</v>
      </c>
      <c r="F40" s="1"/>
      <c r="G40" s="1">
        <f t="shared" ref="G40:Q40" si="4">SUMIF($F$22:$F$33,$D$40,G22:G33)</f>
        <v>6</v>
      </c>
      <c r="H40" s="1">
        <f t="shared" si="4"/>
        <v>3</v>
      </c>
      <c r="I40" s="1">
        <f t="shared" si="4"/>
        <v>7</v>
      </c>
      <c r="J40" s="1">
        <f t="shared" si="4"/>
        <v>16</v>
      </c>
      <c r="K40" s="1">
        <f t="shared" si="4"/>
        <v>7</v>
      </c>
      <c r="L40" s="1">
        <f t="shared" si="4"/>
        <v>10</v>
      </c>
      <c r="M40" s="1">
        <f t="shared" ref="M40:O40" si="5">SUMIF($F$22:$F$33,$D$40,M22:M33)</f>
        <v>20</v>
      </c>
      <c r="N40" s="1">
        <f t="shared" ref="N40" si="6">SUMIF($F$22:$F$33,$D$40,N22:N33)</f>
        <v>20</v>
      </c>
      <c r="O40" s="1">
        <f t="shared" si="5"/>
        <v>17</v>
      </c>
      <c r="P40" s="1">
        <f>SUMIF($F$22:$F$33,$D$40,P22:P33)</f>
        <v>8</v>
      </c>
      <c r="Q40" s="1">
        <f t="shared" si="4"/>
        <v>8</v>
      </c>
      <c r="R40" s="1">
        <f>SUMIF($F$22:$F$38,$D$40,R22:R38)</f>
        <v>11</v>
      </c>
    </row>
    <row r="41" spans="1:18" x14ac:dyDescent="0.25">
      <c r="A41" s="23"/>
      <c r="B41" s="23"/>
      <c r="C41" s="24"/>
      <c r="D41" s="25" t="s">
        <v>38</v>
      </c>
      <c r="E41" s="1" t="s">
        <v>3</v>
      </c>
      <c r="F41" s="1"/>
      <c r="G41" s="1">
        <f t="shared" ref="G41:Q41" si="7">SUMIF($F$22:$F$33,$D$41,G22:G33)</f>
        <v>32</v>
      </c>
      <c r="H41" s="1">
        <f t="shared" si="7"/>
        <v>16</v>
      </c>
      <c r="I41" s="1">
        <f t="shared" si="7"/>
        <v>51</v>
      </c>
      <c r="J41" s="1">
        <f t="shared" si="7"/>
        <v>89</v>
      </c>
      <c r="K41" s="1">
        <f t="shared" si="7"/>
        <v>51</v>
      </c>
      <c r="L41" s="1">
        <f t="shared" si="7"/>
        <v>59</v>
      </c>
      <c r="M41" s="1">
        <f t="shared" ref="M41:O41" si="8">SUMIF($F$22:$F$33,$D$41,M22:M33)</f>
        <v>85</v>
      </c>
      <c r="N41" s="1">
        <f t="shared" ref="N41" si="9">SUMIF($F$22:$F$33,$D$41,N22:N33)</f>
        <v>89</v>
      </c>
      <c r="O41" s="1">
        <f t="shared" si="8"/>
        <v>71</v>
      </c>
      <c r="P41" s="1">
        <f>SUMIF($F$22:$F$33,$D$41,P22:P33)</f>
        <v>73</v>
      </c>
      <c r="Q41" s="1">
        <f t="shared" si="7"/>
        <v>82</v>
      </c>
      <c r="R41" s="1">
        <f>SUMIF($F$22:$F$38,$D$41,R22:R38)</f>
        <v>51</v>
      </c>
    </row>
  </sheetData>
  <pageMargins left="0.7" right="0.7" top="0.75" bottom="0.75" header="0.3" footer="0.3"/>
  <pageSetup scale="6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985FCE496C9B43B6849948664EBD41" ma:contentTypeVersion="16" ma:contentTypeDescription="Crear nuevo documento." ma:contentTypeScope="" ma:versionID="92d5521ba03a85ec14ffd19b4322934e">
  <xsd:schema xmlns:xsd="http://www.w3.org/2001/XMLSchema" xmlns:xs="http://www.w3.org/2001/XMLSchema" xmlns:p="http://schemas.microsoft.com/office/2006/metadata/properties" xmlns:ns2="199c2c59-2769-412f-b0b1-dd3e36638d0b" xmlns:ns3="dccfe305-b808-4a47-ba59-cba50805c923" targetNamespace="http://schemas.microsoft.com/office/2006/metadata/properties" ma:root="true" ma:fieldsID="e3d59bd18418b32eeea2ce90cca8bbeb" ns2:_="" ns3:_="">
    <xsd:import namespace="199c2c59-2769-412f-b0b1-dd3e36638d0b"/>
    <xsd:import namespace="dccfe305-b808-4a47-ba59-cba50805c9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2c59-2769-412f-b0b1-dd3e3663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1cb7555-5038-469b-b36f-58c1c791df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fe305-b808-4a47-ba59-cba50805c9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ae314f6-e016-4624-9ee0-885be25771a1}" ma:internalName="TaxCatchAll" ma:showField="CatchAllData" ma:web="dccfe305-b808-4a47-ba59-cba50805c9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c2c59-2769-412f-b0b1-dd3e36638d0b">
      <Terms xmlns="http://schemas.microsoft.com/office/infopath/2007/PartnerControls"/>
    </lcf76f155ced4ddcb4097134ff3c332f>
    <TaxCatchAll xmlns="dccfe305-b808-4a47-ba59-cba50805c923" xsi:nil="true"/>
  </documentManagement>
</p:properties>
</file>

<file path=customXml/itemProps1.xml><?xml version="1.0" encoding="utf-8"?>
<ds:datastoreItem xmlns:ds="http://schemas.openxmlformats.org/officeDocument/2006/customXml" ds:itemID="{0211DEE8-DFD1-48EB-A24A-34DEAE29D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9c2c59-2769-412f-b0b1-dd3e36638d0b"/>
    <ds:schemaRef ds:uri="dccfe305-b808-4a47-ba59-cba50805c9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514C56-E74C-407E-8885-45D74430DF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3DA3BA-8448-478C-982E-05BAA29FEB5C}">
  <ds:schemaRefs>
    <ds:schemaRef ds:uri="http://schemas.microsoft.com/office/2006/metadata/properties"/>
    <ds:schemaRef ds:uri="http://schemas.microsoft.com/office/infopath/2007/PartnerControls"/>
    <ds:schemaRef ds:uri="199c2c59-2769-412f-b0b1-dd3e36638d0b"/>
    <ds:schemaRef ds:uri="dccfe305-b808-4a47-ba59-cba50805c9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Dotaciones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2026-04-29T15:59:41Z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0x010100F4985FCE496C9B43B6849948664EBD41</vt:lpwstr>
  </property>
  <property fmtid="{D5CDD505-2E9C-101B-9397-08002B2CF9AE}" pid="3" name="MediaServiceImageTags">
    <vt:lpwstr/>
  </property>
</Properties>
</file>